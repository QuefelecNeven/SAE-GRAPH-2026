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30" windowHeight="81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<sst xmlns="http://schemas.openxmlformats.org/spreadsheetml/2006/main" count="24" uniqueCount="12">
  <si>
    <t>p : 100</t>
  </si>
  <si>
    <t>Total</t>
  </si>
  <si>
    <t>Aleatoire</t>
  </si>
  <si>
    <t>Simple</t>
  </si>
  <si>
    <t>Temps Total</t>
  </si>
  <si>
    <t>Temps Moyens</t>
  </si>
  <si>
    <t>Max</t>
  </si>
  <si>
    <t>Min</t>
  </si>
  <si>
    <t>Testes des algorithme pour le Graphe Simple en ms</t>
  </si>
  <si>
    <t>Djikstra</t>
  </si>
  <si>
    <t>BFS</t>
  </si>
  <si>
    <t>Testes des algorithme pour le Graphe Aleatoire en ms</t>
  </si>
</sst>
</file>

<file path=xl/styles.xml><?xml version="1.0" encoding="utf-8"?>
<styleSheet xmlns="http://schemas.openxmlformats.org/spreadsheetml/2006/main">
  <numFmts count="5">
    <numFmt numFmtId="176" formatCode="0.00_ 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tabSelected="1" workbookViewId="0">
      <selection activeCell="B1" sqref="B1"/>
    </sheetView>
  </sheetViews>
  <sheetFormatPr defaultColWidth="8.88888888888889" defaultRowHeight="15"/>
  <cols>
    <col min="2" max="2" width="11.1111111111111" customWidth="1"/>
    <col min="3" max="3" width="12.5555555555556" customWidth="1"/>
    <col min="22" max="22" width="14.1111111111111" customWidth="1"/>
  </cols>
  <sheetData>
    <row r="1" spans="1:22">
      <c r="A1" t="s">
        <v>0</v>
      </c>
      <c r="B1" s="1">
        <v>1</v>
      </c>
      <c r="C1" s="1">
        <f>1+B1</f>
        <v>2</v>
      </c>
      <c r="D1" s="1">
        <f t="shared" ref="D1:P1" si="0">1+C1</f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  <c r="L1" s="1">
        <f t="shared" si="0"/>
        <v>11</v>
      </c>
      <c r="M1" s="1">
        <f t="shared" si="0"/>
        <v>12</v>
      </c>
      <c r="N1" s="1">
        <f t="shared" si="0"/>
        <v>13</v>
      </c>
      <c r="O1" s="1">
        <f t="shared" si="0"/>
        <v>14</v>
      </c>
      <c r="P1" s="1">
        <f t="shared" si="0"/>
        <v>15</v>
      </c>
      <c r="Q1" s="1">
        <f>1+P1</f>
        <v>16</v>
      </c>
      <c r="R1" s="1">
        <f>1+Q1</f>
        <v>17</v>
      </c>
      <c r="S1" s="1">
        <f>1+R1</f>
        <v>18</v>
      </c>
      <c r="T1" s="1">
        <f>1+S1</f>
        <v>19</v>
      </c>
      <c r="U1" s="1">
        <f>1+T1</f>
        <v>20</v>
      </c>
      <c r="V1" s="1" t="s">
        <v>1</v>
      </c>
    </row>
    <row r="2" spans="1:22">
      <c r="A2" s="2" t="s">
        <v>2</v>
      </c>
      <c r="B2" s="3">
        <v>30.24</v>
      </c>
      <c r="C2" s="3">
        <v>18.96</v>
      </c>
      <c r="D2" s="3">
        <v>16.01</v>
      </c>
      <c r="E2" s="3">
        <v>16.1</v>
      </c>
      <c r="F2" s="3">
        <v>41.68</v>
      </c>
      <c r="G2" s="3">
        <v>39.39</v>
      </c>
      <c r="H2" s="3">
        <v>13.48</v>
      </c>
      <c r="I2" s="3">
        <v>15.55</v>
      </c>
      <c r="J2" s="3">
        <v>17.75</v>
      </c>
      <c r="K2" s="3">
        <v>18.87</v>
      </c>
      <c r="L2" s="3">
        <v>18.98</v>
      </c>
      <c r="M2" s="3">
        <v>25.72</v>
      </c>
      <c r="N2" s="3">
        <v>54.83</v>
      </c>
      <c r="O2" s="3">
        <v>47.97</v>
      </c>
      <c r="P2" s="3">
        <v>26.26</v>
      </c>
      <c r="Q2" s="3">
        <v>25.83</v>
      </c>
      <c r="R2" s="3">
        <v>10.17</v>
      </c>
      <c r="S2" s="3">
        <v>17.06</v>
      </c>
      <c r="T2" s="3">
        <v>14.51</v>
      </c>
      <c r="U2" s="3">
        <v>13.89</v>
      </c>
      <c r="V2">
        <f>SUM(B2:U2)</f>
        <v>483.25</v>
      </c>
    </row>
    <row r="3" spans="1:22">
      <c r="A3" s="2" t="s">
        <v>3</v>
      </c>
      <c r="B3" s="3">
        <v>2.18</v>
      </c>
      <c r="C3" s="3">
        <v>2.47</v>
      </c>
      <c r="D3" s="3">
        <v>2.5</v>
      </c>
      <c r="E3" s="3">
        <v>3.07</v>
      </c>
      <c r="F3" s="3">
        <v>1.92</v>
      </c>
      <c r="G3" s="3">
        <v>1.85</v>
      </c>
      <c r="H3" s="3">
        <v>0.78</v>
      </c>
      <c r="I3" s="3">
        <v>1.97</v>
      </c>
      <c r="J3" s="3">
        <v>1.94</v>
      </c>
      <c r="K3" s="3">
        <v>1.88</v>
      </c>
      <c r="L3" s="3">
        <v>2.09</v>
      </c>
      <c r="M3" s="3">
        <v>2.08</v>
      </c>
      <c r="N3" s="3">
        <v>1.86</v>
      </c>
      <c r="O3" s="3">
        <v>1.67</v>
      </c>
      <c r="P3" s="3">
        <v>1.72</v>
      </c>
      <c r="Q3" s="3">
        <v>2.72</v>
      </c>
      <c r="R3" s="3">
        <v>1.69</v>
      </c>
      <c r="S3" s="3">
        <v>2.06</v>
      </c>
      <c r="T3" s="3">
        <v>1.85</v>
      </c>
      <c r="U3" s="3">
        <v>1.62</v>
      </c>
      <c r="V3">
        <f>SUM(B3:U3)</f>
        <v>39.92</v>
      </c>
    </row>
    <row r="5" spans="2:5">
      <c r="B5" s="1" t="s">
        <v>4</v>
      </c>
      <c r="C5" s="1" t="s">
        <v>5</v>
      </c>
      <c r="D5" s="1" t="s">
        <v>6</v>
      </c>
      <c r="E5" s="1" t="s">
        <v>7</v>
      </c>
    </row>
    <row r="6" spans="1:5">
      <c r="A6" s="2" t="s">
        <v>2</v>
      </c>
      <c r="B6">
        <f>V2</f>
        <v>483.25</v>
      </c>
      <c r="C6">
        <f>B6/U1</f>
        <v>24.1625</v>
      </c>
      <c r="D6">
        <f>MAX(B2:U2)</f>
        <v>54.83</v>
      </c>
      <c r="E6">
        <f>MIN(B2:U2)</f>
        <v>10.17</v>
      </c>
    </row>
    <row r="7" spans="1:5">
      <c r="A7" s="2" t="s">
        <v>3</v>
      </c>
      <c r="B7">
        <f>V3</f>
        <v>39.92</v>
      </c>
      <c r="C7">
        <f>B7/U1</f>
        <v>1.996</v>
      </c>
      <c r="D7">
        <f>MAX(B3:U3)</f>
        <v>3.07</v>
      </c>
      <c r="E7">
        <f>MIN(B3:U3)</f>
        <v>0.78</v>
      </c>
    </row>
    <row r="9" spans="1:22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2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 t="s">
        <v>1</v>
      </c>
    </row>
    <row r="11" spans="1:22">
      <c r="A11" t="s">
        <v>9</v>
      </c>
      <c r="B11">
        <v>6.74</v>
      </c>
      <c r="C11">
        <v>7.21</v>
      </c>
      <c r="D11">
        <v>5.51</v>
      </c>
      <c r="E11">
        <v>6.59</v>
      </c>
      <c r="F11">
        <v>2.64</v>
      </c>
      <c r="G11">
        <v>9.88</v>
      </c>
      <c r="H11">
        <v>9.86</v>
      </c>
      <c r="I11">
        <v>7.17</v>
      </c>
      <c r="J11">
        <v>25.82</v>
      </c>
      <c r="K11">
        <v>12.36</v>
      </c>
      <c r="L11">
        <v>11.48</v>
      </c>
      <c r="M11">
        <v>8.68</v>
      </c>
      <c r="N11">
        <v>9.14</v>
      </c>
      <c r="O11">
        <v>14.55</v>
      </c>
      <c r="P11">
        <v>7.14</v>
      </c>
      <c r="Q11">
        <v>7.42</v>
      </c>
      <c r="R11">
        <v>9.9</v>
      </c>
      <c r="S11">
        <v>7.98</v>
      </c>
      <c r="T11">
        <v>11</v>
      </c>
      <c r="U11">
        <v>5.83</v>
      </c>
      <c r="V11">
        <f>SUM(B11:U11)</f>
        <v>186.9</v>
      </c>
    </row>
    <row r="12" spans="1:22">
      <c r="A12" t="s">
        <v>10</v>
      </c>
      <c r="B12">
        <v>7.21</v>
      </c>
      <c r="C12">
        <v>5.43</v>
      </c>
      <c r="D12">
        <v>5.68</v>
      </c>
      <c r="E12">
        <v>5.65</v>
      </c>
      <c r="F12">
        <v>4.85</v>
      </c>
      <c r="G12">
        <v>5.88</v>
      </c>
      <c r="H12">
        <v>5.11</v>
      </c>
      <c r="I12">
        <v>6.95</v>
      </c>
      <c r="J12">
        <v>6.79</v>
      </c>
      <c r="K12">
        <v>5.53</v>
      </c>
      <c r="L12">
        <v>6.39</v>
      </c>
      <c r="M12">
        <v>5.55</v>
      </c>
      <c r="N12">
        <v>5.78</v>
      </c>
      <c r="O12">
        <v>5.56</v>
      </c>
      <c r="P12">
        <v>5.54</v>
      </c>
      <c r="Q12">
        <v>5.71</v>
      </c>
      <c r="R12">
        <v>5.71</v>
      </c>
      <c r="S12">
        <v>5.7</v>
      </c>
      <c r="T12">
        <v>6.39</v>
      </c>
      <c r="U12">
        <v>5.53</v>
      </c>
      <c r="V12">
        <f>SUM(B12:U12)</f>
        <v>116.94</v>
      </c>
    </row>
    <row r="14" spans="2:5">
      <c r="B14" t="s">
        <v>4</v>
      </c>
      <c r="C14" t="str">
        <f>C5</f>
        <v>Temps Moyens</v>
      </c>
      <c r="D14" t="str">
        <f>D5</f>
        <v>Max</v>
      </c>
      <c r="E14" t="str">
        <f>E5</f>
        <v>Min</v>
      </c>
    </row>
    <row r="15" spans="1:5">
      <c r="A15" t="s">
        <v>9</v>
      </c>
      <c r="B15">
        <f>V11</f>
        <v>186.9</v>
      </c>
      <c r="C15">
        <f>B15/U10</f>
        <v>9.345</v>
      </c>
      <c r="D15">
        <f>MAX(B11:U11)</f>
        <v>25.82</v>
      </c>
      <c r="E15">
        <f>MIN(B11:U11)</f>
        <v>2.64</v>
      </c>
    </row>
    <row r="16" spans="1:5">
      <c r="A16" t="s">
        <v>10</v>
      </c>
      <c r="B16">
        <f>V12</f>
        <v>116.94</v>
      </c>
      <c r="C16">
        <f>B16/U10</f>
        <v>5.847</v>
      </c>
      <c r="D16">
        <f>MAX(B12:U12)</f>
        <v>7.21</v>
      </c>
      <c r="E16">
        <f>MIN(B12:U12)</f>
        <v>4.85</v>
      </c>
    </row>
    <row r="18" spans="1:22">
      <c r="A18" s="1" t="s">
        <v>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  <c r="N19">
        <v>13</v>
      </c>
      <c r="O19">
        <v>14</v>
      </c>
      <c r="P19">
        <v>15</v>
      </c>
      <c r="Q19">
        <v>16</v>
      </c>
      <c r="R19">
        <v>17</v>
      </c>
      <c r="S19">
        <v>18</v>
      </c>
      <c r="T19">
        <v>19</v>
      </c>
      <c r="U19">
        <v>20</v>
      </c>
      <c r="V19" t="s">
        <v>1</v>
      </c>
    </row>
    <row r="20" spans="1:22">
      <c r="A20" s="2" t="s">
        <v>9</v>
      </c>
      <c r="B20">
        <v>42.71</v>
      </c>
      <c r="C20">
        <v>51.8</v>
      </c>
      <c r="D20">
        <v>30.94</v>
      </c>
      <c r="E20">
        <v>36.15</v>
      </c>
      <c r="F20">
        <v>24.03</v>
      </c>
      <c r="G20">
        <v>35.64</v>
      </c>
      <c r="H20">
        <v>31.54</v>
      </c>
      <c r="I20">
        <v>30.88</v>
      </c>
      <c r="J20">
        <v>35.06</v>
      </c>
      <c r="K20">
        <v>30.18</v>
      </c>
      <c r="L20">
        <v>35.48</v>
      </c>
      <c r="M20">
        <v>32.03</v>
      </c>
      <c r="N20">
        <v>30.25</v>
      </c>
      <c r="O20">
        <v>56.38</v>
      </c>
      <c r="P20">
        <v>33.76</v>
      </c>
      <c r="Q20">
        <v>33.7</v>
      </c>
      <c r="R20">
        <v>35.56</v>
      </c>
      <c r="S20">
        <v>32.45</v>
      </c>
      <c r="T20">
        <v>29.95</v>
      </c>
      <c r="U20">
        <v>30.88</v>
      </c>
      <c r="V20">
        <f>SUM(B20:U20)</f>
        <v>699.37</v>
      </c>
    </row>
    <row r="21" spans="1:22">
      <c r="A21" s="2" t="s">
        <v>10</v>
      </c>
      <c r="B21">
        <v>32.46</v>
      </c>
      <c r="C21">
        <v>29.58</v>
      </c>
      <c r="D21">
        <v>33.05</v>
      </c>
      <c r="E21">
        <v>37.2</v>
      </c>
      <c r="F21">
        <v>20.39</v>
      </c>
      <c r="G21">
        <v>24.84</v>
      </c>
      <c r="H21">
        <v>27.86</v>
      </c>
      <c r="I21">
        <v>46.27</v>
      </c>
      <c r="J21">
        <v>48.24</v>
      </c>
      <c r="K21">
        <v>27.35</v>
      </c>
      <c r="L21">
        <v>25.64</v>
      </c>
      <c r="M21">
        <v>30.76</v>
      </c>
      <c r="N21">
        <v>25.01</v>
      </c>
      <c r="O21">
        <v>24.51</v>
      </c>
      <c r="P21">
        <v>26.59</v>
      </c>
      <c r="Q21">
        <v>25.57</v>
      </c>
      <c r="R21">
        <v>24.84</v>
      </c>
      <c r="S21">
        <v>26.17</v>
      </c>
      <c r="T21">
        <v>24.65</v>
      </c>
      <c r="U21">
        <v>26.67</v>
      </c>
      <c r="V21">
        <f>SUM(B21:U21)</f>
        <v>587.65</v>
      </c>
    </row>
    <row r="23" spans="2:5">
      <c r="B23" t="s">
        <v>4</v>
      </c>
      <c r="C23" t="str">
        <f>C14</f>
        <v>Temps Moyens</v>
      </c>
      <c r="D23" t="str">
        <f>D14</f>
        <v>Max</v>
      </c>
      <c r="E23" t="str">
        <f>E14</f>
        <v>Min</v>
      </c>
    </row>
    <row r="24" spans="1:5">
      <c r="A24" t="s">
        <v>9</v>
      </c>
      <c r="B24">
        <f>V20</f>
        <v>699.37</v>
      </c>
      <c r="C24">
        <f>B24/U19</f>
        <v>34.9685</v>
      </c>
      <c r="D24">
        <f>MAX(B20:U20)</f>
        <v>56.38</v>
      </c>
      <c r="E24">
        <f>MIN(B20:U20)</f>
        <v>24.03</v>
      </c>
    </row>
    <row r="25" spans="1:5">
      <c r="A25" t="s">
        <v>10</v>
      </c>
      <c r="B25">
        <f>V21</f>
        <v>587.65</v>
      </c>
      <c r="C25">
        <f>B25/U19</f>
        <v>29.3825</v>
      </c>
      <c r="D25">
        <f>MAX(B21:U21)</f>
        <v>48.24</v>
      </c>
      <c r="E25">
        <f>MIN(B21:U21)</f>
        <v>20.39</v>
      </c>
    </row>
  </sheetData>
  <mergeCells count="2">
    <mergeCell ref="A9:V9"/>
    <mergeCell ref="A18:V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flowyz</dc:creator>
  <cp:lastModifiedBy>flowyz</cp:lastModifiedBy>
  <dcterms:created xsi:type="dcterms:W3CDTF">2026-05-28T13:46:03Z</dcterms:created>
  <dcterms:modified xsi:type="dcterms:W3CDTF">2026-05-28T15:17:41Z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